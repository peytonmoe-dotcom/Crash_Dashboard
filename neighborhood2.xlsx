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int3\Desktop\TTP work\Crash data\data\"/>
    </mc:Choice>
  </mc:AlternateContent>
  <xr:revisionPtr revIDLastSave="0" documentId="8_{473475BF-8D01-425A-8353-391E8E71216D}" xr6:coauthVersionLast="47" xr6:coauthVersionMax="47" xr10:uidLastSave="{00000000-0000-0000-0000-000000000000}"/>
  <bookViews>
    <workbookView xWindow="795" yWindow="1695" windowWidth="30090" windowHeight="13530" xr2:uid="{A00323CD-D538-4C57-B1B9-971119063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1" l="1"/>
  <c r="F22" i="1"/>
  <c r="B22" i="1"/>
  <c r="H21" i="1"/>
  <c r="F21" i="1"/>
  <c r="B21" i="1"/>
  <c r="H20" i="1"/>
  <c r="F20" i="1"/>
  <c r="B20" i="1"/>
  <c r="H19" i="1"/>
  <c r="F19" i="1"/>
  <c r="B19" i="1"/>
  <c r="H18" i="1"/>
  <c r="F18" i="1"/>
  <c r="B18" i="1"/>
  <c r="H17" i="1"/>
  <c r="F17" i="1"/>
  <c r="B17" i="1"/>
  <c r="H16" i="1"/>
  <c r="F16" i="1"/>
  <c r="B16" i="1"/>
  <c r="H15" i="1"/>
  <c r="F15" i="1"/>
  <c r="B15" i="1"/>
  <c r="H14" i="1"/>
  <c r="F14" i="1"/>
  <c r="B14" i="1"/>
  <c r="H13" i="1"/>
  <c r="F13" i="1"/>
  <c r="B13" i="1"/>
  <c r="H12" i="1"/>
  <c r="F12" i="1"/>
  <c r="B12" i="1"/>
  <c r="H11" i="1"/>
  <c r="F11" i="1"/>
  <c r="B11" i="1"/>
  <c r="H10" i="1"/>
  <c r="F10" i="1"/>
  <c r="B10" i="1"/>
  <c r="H9" i="1"/>
  <c r="F9" i="1"/>
  <c r="B9" i="1"/>
  <c r="H8" i="1"/>
  <c r="F8" i="1"/>
  <c r="B8" i="1"/>
  <c r="H7" i="1"/>
  <c r="F7" i="1"/>
  <c r="B7" i="1"/>
  <c r="H6" i="1"/>
  <c r="F6" i="1"/>
  <c r="B6" i="1"/>
  <c r="H5" i="1"/>
  <c r="F5" i="1"/>
  <c r="B5" i="1"/>
  <c r="H4" i="1"/>
  <c r="F4" i="1"/>
  <c r="B4" i="1"/>
  <c r="H3" i="1"/>
  <c r="F3" i="1"/>
  <c r="B3" i="1"/>
  <c r="H2" i="1"/>
  <c r="F2" i="1"/>
  <c r="B2" i="1"/>
</calcChain>
</file>

<file path=xl/sharedStrings.xml><?xml version="1.0" encoding="utf-8"?>
<sst xmlns="http://schemas.openxmlformats.org/spreadsheetml/2006/main" count="30" uniqueCount="30">
  <si>
    <t>Neighborhood</t>
  </si>
  <si>
    <t>Neighborhood_Cleaned</t>
  </si>
  <si>
    <t>Sum of Road Length (Miles)</t>
  </si>
  <si>
    <t>Number of MVA</t>
  </si>
  <si>
    <t>MVA per Mile</t>
  </si>
  <si>
    <t>Number of Fatals</t>
  </si>
  <si>
    <t>Fatal per mile</t>
  </si>
  <si>
    <t>AMITY</t>
  </si>
  <si>
    <t>ANNEX</t>
  </si>
  <si>
    <t>BEAVER HILLS</t>
  </si>
  <si>
    <t>DIXWELL</t>
  </si>
  <si>
    <t>DOWNTOWN</t>
  </si>
  <si>
    <t>DWIGHT</t>
  </si>
  <si>
    <t>EAST ROCK</t>
  </si>
  <si>
    <t>EAST SHORE</t>
  </si>
  <si>
    <t>EDGEWOOD</t>
  </si>
  <si>
    <t>FAIR HAVEN</t>
  </si>
  <si>
    <t>FAIR HAVEN HEIGHTS</t>
  </si>
  <si>
    <t>HILL</t>
  </si>
  <si>
    <t>LONG WHARF</t>
  </si>
  <si>
    <t>MILL RIVER</t>
  </si>
  <si>
    <t>NEWHALLVILLE</t>
  </si>
  <si>
    <t>PROSPECT HILL</t>
  </si>
  <si>
    <t>QUINNIPIAC MEADOWS</t>
  </si>
  <si>
    <t>WESTRIVER</t>
  </si>
  <si>
    <t>WESTROCK</t>
  </si>
  <si>
    <t>WESTVILLE</t>
  </si>
  <si>
    <t>WOOSTER SQUARE</t>
  </si>
  <si>
    <t>MVA</t>
  </si>
  <si>
    <t>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</si>
</sst>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E615-1C3A-4E26-99AD-3F86EA0F09A4}">
  <dimension ref="A1:I22"/>
  <sheetViews>
    <sheetView tabSelected="1" workbookViewId="0">
      <selection activeCell="H9" sqref="H9"/>
    </sheetView>
  </sheetViews>
  <sheetFormatPr defaultRowHeight="15" x14ac:dyDescent="0.25"/>
  <cols>
    <col min="1" max="1" width="19.7109375" customWidth="1"/>
    <col min="2" max="2" width="27.28515625" customWidth="1"/>
    <col min="3" max="3" width="20.140625" customWidth="1"/>
    <col min="4" max="4" width="23.42578125" customWidth="1"/>
    <col min="5" max="5" width="18.28515625" customWidth="1"/>
    <col min="6" max="6" width="16.5703125" customWidth="1"/>
    <col min="7" max="7" width="20.5703125" customWidth="1"/>
    <col min="8" max="8" width="26.5703125" customWidth="1"/>
    <col min="9" max="9" width="25.5703125" customWidth="1"/>
  </cols>
  <sheetData>
    <row r="1" spans="1:9" x14ac:dyDescent="0.25">
      <c r="A1" s="1" t="s">
        <v>0</v>
      </c>
      <c r="B1" s="1" t="s">
        <v>1</v>
      </c>
      <c r="C1" s="1" t="s">
        <v>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29</v>
      </c>
    </row>
    <row r="2" spans="1:9" x14ac:dyDescent="0.25">
      <c r="A2" t="s">
        <v>7</v>
      </c>
      <c r="B2" t="str">
        <f>PROPER(A2)</f>
        <v>Amity</v>
      </c>
      <c r="C2">
        <v>302</v>
      </c>
      <c r="D2" s="2">
        <v>12.266992559656501</v>
      </c>
      <c r="E2">
        <v>302</v>
      </c>
      <c r="F2" s="3">
        <f>(E2/D2)</f>
        <v>24.618911157834482</v>
      </c>
      <c r="G2">
        <v>6</v>
      </c>
      <c r="H2" s="4">
        <f>(G2/D2)</f>
        <v>0.48911744022187714</v>
      </c>
      <c r="I2" s="5">
        <v>6</v>
      </c>
    </row>
    <row r="3" spans="1:9" x14ac:dyDescent="0.25">
      <c r="A3" t="s">
        <v>8</v>
      </c>
      <c r="B3" t="str">
        <f>PROPER(A3)</f>
        <v>Annex</v>
      </c>
      <c r="C3">
        <v>340</v>
      </c>
      <c r="D3" s="2">
        <v>16.284737361622302</v>
      </c>
      <c r="E3">
        <v>340</v>
      </c>
      <c r="F3" s="3">
        <f>(E3/D3)</f>
        <v>20.878445408721586</v>
      </c>
      <c r="G3">
        <v>4</v>
      </c>
      <c r="H3" s="4">
        <f>(G3/D3)</f>
        <v>0.2456287695143716</v>
      </c>
      <c r="I3">
        <v>4</v>
      </c>
    </row>
    <row r="4" spans="1:9" x14ac:dyDescent="0.25">
      <c r="A4" t="s">
        <v>9</v>
      </c>
      <c r="B4" t="str">
        <f>PROPER(A4)</f>
        <v>Beaver Hills</v>
      </c>
      <c r="C4">
        <v>353</v>
      </c>
      <c r="D4" s="2">
        <v>11.691617461387001</v>
      </c>
      <c r="E4">
        <v>353</v>
      </c>
      <c r="F4" s="3">
        <f>(E4/D4)</f>
        <v>30.192571828989937</v>
      </c>
      <c r="G4">
        <v>2</v>
      </c>
      <c r="H4" s="4">
        <f>(G4/D4)</f>
        <v>0.17106272990929142</v>
      </c>
      <c r="I4">
        <v>2</v>
      </c>
    </row>
    <row r="5" spans="1:9" x14ac:dyDescent="0.25">
      <c r="A5" t="s">
        <v>10</v>
      </c>
      <c r="B5" t="str">
        <f>PROPER(A5)</f>
        <v>Dixwell</v>
      </c>
      <c r="C5">
        <v>505</v>
      </c>
      <c r="D5" s="2">
        <v>11.1551775391089</v>
      </c>
      <c r="E5">
        <v>505</v>
      </c>
      <c r="F5" s="3">
        <f>(E5/D5)</f>
        <v>45.270458334663182</v>
      </c>
      <c r="G5">
        <v>4</v>
      </c>
      <c r="H5" s="4">
        <f>(G5/D5)</f>
        <v>0.35857788779931232</v>
      </c>
      <c r="I5">
        <v>4</v>
      </c>
    </row>
    <row r="6" spans="1:9" x14ac:dyDescent="0.25">
      <c r="A6" t="s">
        <v>11</v>
      </c>
      <c r="B6" t="str">
        <f>PROPER(A6)</f>
        <v>Downtown</v>
      </c>
      <c r="C6">
        <v>552</v>
      </c>
      <c r="D6" s="2">
        <v>10.3648397787001</v>
      </c>
      <c r="E6">
        <v>552</v>
      </c>
      <c r="F6" s="3">
        <f>(E6/D6)</f>
        <v>53.256973748341792</v>
      </c>
      <c r="G6">
        <v>7</v>
      </c>
      <c r="H6" s="4">
        <f>(G6/D6)</f>
        <v>0.67536017434491402</v>
      </c>
      <c r="I6" s="5">
        <v>7</v>
      </c>
    </row>
    <row r="7" spans="1:9" x14ac:dyDescent="0.25">
      <c r="A7" t="s">
        <v>12</v>
      </c>
      <c r="B7" t="str">
        <f>PROPER(A7)</f>
        <v>Dwight</v>
      </c>
      <c r="C7">
        <v>355</v>
      </c>
      <c r="D7" s="2">
        <v>6.6992449673707597</v>
      </c>
      <c r="E7">
        <v>355</v>
      </c>
      <c r="F7" s="3">
        <f>(E7/D7)</f>
        <v>52.991046264027901</v>
      </c>
      <c r="G7">
        <v>0</v>
      </c>
      <c r="H7" s="4">
        <f>(G7/D7)</f>
        <v>0</v>
      </c>
      <c r="I7">
        <v>0</v>
      </c>
    </row>
    <row r="8" spans="1:9" x14ac:dyDescent="0.25">
      <c r="A8" t="s">
        <v>13</v>
      </c>
      <c r="B8" t="str">
        <f>PROPER(A8)</f>
        <v>East Rock</v>
      </c>
      <c r="C8">
        <v>386</v>
      </c>
      <c r="D8" s="2">
        <v>16.154497209907198</v>
      </c>
      <c r="E8">
        <v>386</v>
      </c>
      <c r="F8" s="3">
        <f>(E8/D8)</f>
        <v>23.894275073028869</v>
      </c>
      <c r="G8">
        <v>1</v>
      </c>
      <c r="H8" s="4">
        <f>(G8/D8)</f>
        <v>6.1902267028572204E-2</v>
      </c>
      <c r="I8">
        <v>1</v>
      </c>
    </row>
    <row r="9" spans="1:9" x14ac:dyDescent="0.25">
      <c r="A9" t="s">
        <v>14</v>
      </c>
      <c r="B9" t="str">
        <f>PROPER(A9)</f>
        <v>East Shore</v>
      </c>
      <c r="C9">
        <v>59</v>
      </c>
      <c r="D9" s="2">
        <v>19.4040081055572</v>
      </c>
      <c r="E9">
        <v>59</v>
      </c>
      <c r="F9" s="3">
        <f>(E9/D9)</f>
        <v>3.0406089133256304</v>
      </c>
      <c r="G9">
        <v>3</v>
      </c>
      <c r="H9" s="4">
        <f>(G9/D9)</f>
        <v>0.15460723288096426</v>
      </c>
      <c r="I9">
        <v>3</v>
      </c>
    </row>
    <row r="10" spans="1:9" x14ac:dyDescent="0.25">
      <c r="A10" t="s">
        <v>15</v>
      </c>
      <c r="B10" t="str">
        <f>PROPER(A10)</f>
        <v>Edgewood</v>
      </c>
      <c r="C10">
        <v>294</v>
      </c>
      <c r="D10" s="2">
        <v>7.7721680157264901</v>
      </c>
      <c r="E10">
        <v>294</v>
      </c>
      <c r="F10" s="3">
        <f>(E10/D10)</f>
        <v>37.827283121660471</v>
      </c>
      <c r="G10">
        <v>3</v>
      </c>
      <c r="H10" s="4">
        <f>(G10/D10)</f>
        <v>0.38599268491490274</v>
      </c>
      <c r="I10">
        <v>3</v>
      </c>
    </row>
    <row r="11" spans="1:9" x14ac:dyDescent="0.25">
      <c r="A11" t="s">
        <v>16</v>
      </c>
      <c r="B11" t="str">
        <f>PROPER(A11)</f>
        <v>Fair Haven</v>
      </c>
      <c r="C11">
        <v>681</v>
      </c>
      <c r="D11" s="2">
        <v>23.180501329698</v>
      </c>
      <c r="E11">
        <v>681</v>
      </c>
      <c r="F11" s="3">
        <f>(E11/D11)</f>
        <v>29.378139424772836</v>
      </c>
      <c r="G11">
        <v>3</v>
      </c>
      <c r="H11" s="4">
        <f>(G11/D11)</f>
        <v>0.12941911640869092</v>
      </c>
      <c r="I11">
        <v>3</v>
      </c>
    </row>
    <row r="12" spans="1:9" x14ac:dyDescent="0.25">
      <c r="A12" t="s">
        <v>17</v>
      </c>
      <c r="B12" t="str">
        <f>PROPER(A12)</f>
        <v>Fair Haven Heights</v>
      </c>
      <c r="C12">
        <v>195</v>
      </c>
      <c r="D12" s="2">
        <v>12.631897038110701</v>
      </c>
      <c r="E12">
        <v>195</v>
      </c>
      <c r="F12" s="3">
        <f>(E12/D12)</f>
        <v>15.437111259827473</v>
      </c>
      <c r="G12">
        <v>2</v>
      </c>
      <c r="H12" s="4">
        <f>(G12/D12)</f>
        <v>0.15832934625464073</v>
      </c>
      <c r="I12">
        <v>2</v>
      </c>
    </row>
    <row r="13" spans="1:9" x14ac:dyDescent="0.25">
      <c r="A13" t="s">
        <v>18</v>
      </c>
      <c r="B13" t="str">
        <f>PROPER(A13)</f>
        <v>Hill</v>
      </c>
      <c r="C13">
        <v>1117</v>
      </c>
      <c r="D13" s="2">
        <v>26.849893179874901</v>
      </c>
      <c r="E13">
        <v>1117</v>
      </c>
      <c r="F13" s="3">
        <f>(E13/D13)</f>
        <v>41.601655266071504</v>
      </c>
      <c r="G13">
        <v>14</v>
      </c>
      <c r="H13" s="4">
        <f>(G13/D13)</f>
        <v>0.52141734442703769</v>
      </c>
      <c r="I13">
        <v>14</v>
      </c>
    </row>
    <row r="14" spans="1:9" x14ac:dyDescent="0.25">
      <c r="A14" t="s">
        <v>19</v>
      </c>
      <c r="B14" t="str">
        <f>PROPER(A14)</f>
        <v>Long Wharf</v>
      </c>
      <c r="C14">
        <v>180</v>
      </c>
      <c r="D14" s="2">
        <v>6.2809909671777797</v>
      </c>
      <c r="E14">
        <v>180</v>
      </c>
      <c r="F14" s="3">
        <f>(E14/D14)</f>
        <v>28.657898242588765</v>
      </c>
      <c r="G14">
        <v>2</v>
      </c>
      <c r="H14" s="4">
        <f>(G14/D14)</f>
        <v>0.31842109158431964</v>
      </c>
      <c r="I14">
        <v>2</v>
      </c>
    </row>
    <row r="15" spans="1:9" x14ac:dyDescent="0.25">
      <c r="A15" t="s">
        <v>20</v>
      </c>
      <c r="B15" t="str">
        <f>PROPER(A15)</f>
        <v>Mill River</v>
      </c>
      <c r="C15">
        <v>141</v>
      </c>
      <c r="D15" s="2">
        <v>4.2493459748802698</v>
      </c>
      <c r="E15">
        <v>141</v>
      </c>
      <c r="F15" s="3">
        <f>(E15/D15)</f>
        <v>33.181576843474801</v>
      </c>
      <c r="G15">
        <v>0</v>
      </c>
      <c r="H15" s="4">
        <f>(G15/D15)</f>
        <v>0</v>
      </c>
      <c r="I15">
        <v>0</v>
      </c>
    </row>
    <row r="16" spans="1:9" x14ac:dyDescent="0.25">
      <c r="A16" t="s">
        <v>21</v>
      </c>
      <c r="B16" t="str">
        <f>PROPER(A16)</f>
        <v>Newhallville</v>
      </c>
      <c r="C16">
        <v>350</v>
      </c>
      <c r="D16" s="2">
        <v>12.394842510552699</v>
      </c>
      <c r="E16">
        <v>350</v>
      </c>
      <c r="F16" s="3">
        <f>(E16/D16)</f>
        <v>28.237551199381326</v>
      </c>
      <c r="G16">
        <v>5</v>
      </c>
      <c r="H16" s="4">
        <f>(G16/D16)</f>
        <v>0.40339358856259033</v>
      </c>
      <c r="I16">
        <v>5</v>
      </c>
    </row>
    <row r="17" spans="1:9" x14ac:dyDescent="0.25">
      <c r="A17" t="s">
        <v>22</v>
      </c>
      <c r="B17" t="str">
        <f>PROPER(A17)</f>
        <v>Prospect Hill</v>
      </c>
      <c r="C17">
        <v>184</v>
      </c>
      <c r="D17" s="2">
        <v>9.5053669523476803</v>
      </c>
      <c r="E17">
        <v>184</v>
      </c>
      <c r="F17" s="3">
        <f>(E17/D17)</f>
        <v>19.357485189412369</v>
      </c>
      <c r="G17">
        <v>0</v>
      </c>
      <c r="H17" s="4">
        <f>(G17/D17)</f>
        <v>0</v>
      </c>
      <c r="I17">
        <v>0</v>
      </c>
    </row>
    <row r="18" spans="1:9" x14ac:dyDescent="0.25">
      <c r="A18" t="s">
        <v>23</v>
      </c>
      <c r="B18" t="str">
        <f>PROPER(A18)</f>
        <v>Quinnipiac Meadows</v>
      </c>
      <c r="C18">
        <v>494</v>
      </c>
      <c r="D18" s="2">
        <v>13.2446192533461</v>
      </c>
      <c r="E18">
        <v>494</v>
      </c>
      <c r="F18" s="3">
        <f>(E18/D18)</f>
        <v>37.298165432365799</v>
      </c>
      <c r="G18">
        <v>10</v>
      </c>
      <c r="H18" s="4">
        <f>(G18/D18)</f>
        <v>0.75502359174829548</v>
      </c>
      <c r="I18">
        <v>10</v>
      </c>
    </row>
    <row r="19" spans="1:9" x14ac:dyDescent="0.25">
      <c r="A19" t="s">
        <v>24</v>
      </c>
      <c r="B19" t="str">
        <f>PROPER(A19)</f>
        <v>Westriver</v>
      </c>
      <c r="C19">
        <v>514</v>
      </c>
      <c r="D19" s="2">
        <v>8.3400821854083897</v>
      </c>
      <c r="E19">
        <v>514</v>
      </c>
      <c r="F19" s="3">
        <f>(E19/D19)</f>
        <v>61.630088118230084</v>
      </c>
      <c r="G19">
        <v>2</v>
      </c>
      <c r="H19" s="4">
        <f>(G19/D19)</f>
        <v>0.23980579034330773</v>
      </c>
      <c r="I19">
        <v>2</v>
      </c>
    </row>
    <row r="20" spans="1:9" x14ac:dyDescent="0.25">
      <c r="A20" t="s">
        <v>25</v>
      </c>
      <c r="B20" t="str">
        <f>PROPER(A20)</f>
        <v>Westrock</v>
      </c>
      <c r="C20">
        <v>182</v>
      </c>
      <c r="D20" s="2">
        <v>8.5227631745510699</v>
      </c>
      <c r="E20">
        <v>182</v>
      </c>
      <c r="F20" s="3">
        <f>(E20/D20)</f>
        <v>21.354576710925294</v>
      </c>
      <c r="G20">
        <v>0</v>
      </c>
      <c r="H20" s="4">
        <f>(G20/D20)</f>
        <v>0</v>
      </c>
      <c r="I20">
        <v>0</v>
      </c>
    </row>
    <row r="21" spans="1:9" x14ac:dyDescent="0.25">
      <c r="A21" t="s">
        <v>26</v>
      </c>
      <c r="B21" t="str">
        <f>PROPER(A21)</f>
        <v>Westville</v>
      </c>
      <c r="C21">
        <v>220</v>
      </c>
      <c r="D21" s="2">
        <v>21.317825271798899</v>
      </c>
      <c r="E21">
        <v>220</v>
      </c>
      <c r="F21" s="3">
        <f>(E21/D21)</f>
        <v>10.320002026240239</v>
      </c>
      <c r="G21">
        <v>2</v>
      </c>
      <c r="H21" s="4">
        <f>(G21/D21)</f>
        <v>9.3818200238547617E-2</v>
      </c>
      <c r="I21">
        <v>2</v>
      </c>
    </row>
    <row r="22" spans="1:9" x14ac:dyDescent="0.25">
      <c r="A22" t="s">
        <v>27</v>
      </c>
      <c r="B22" t="str">
        <f>PROPER(A22)</f>
        <v>Wooster Square</v>
      </c>
      <c r="C22">
        <v>94</v>
      </c>
      <c r="D22" s="2">
        <v>5.0323736597129001</v>
      </c>
      <c r="E22">
        <v>94</v>
      </c>
      <c r="F22" s="3">
        <f>(E22/D22)</f>
        <v>18.679058105824907</v>
      </c>
      <c r="G22">
        <v>1</v>
      </c>
      <c r="H22" s="4">
        <f>(G22/D22)</f>
        <v>0.1987133841045203</v>
      </c>
      <c r="I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 Moe</dc:creator>
  <cp:lastModifiedBy>Peyton Moe</cp:lastModifiedBy>
  <dcterms:created xsi:type="dcterms:W3CDTF">2026-07-22T19:12:08Z</dcterms:created>
  <dcterms:modified xsi:type="dcterms:W3CDTF">2026-07-22T19:18:31Z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56900c-5ad4-4f2b-8019-65cb4ed22374_Enabled">
    <vt:lpwstr>true</vt:lpwstr>
  </property>
  <property fmtid="{D5CDD505-2E9C-101B-9397-08002B2CF9AE}" pid="3" name="MSIP_Label_c556900c-5ad4-4f2b-8019-65cb4ed22374_SetDate">
    <vt:lpwstr>2026-07-22T19:17:51Z</vt:lpwstr>
  </property>
  <property fmtid="{D5CDD505-2E9C-101B-9397-08002B2CF9AE}" pid="4" name="MSIP_Label_c556900c-5ad4-4f2b-8019-65cb4ed22374_Method">
    <vt:lpwstr>Standard</vt:lpwstr>
  </property>
  <property fmtid="{D5CDD505-2E9C-101B-9397-08002B2CF9AE}" pid="5" name="MSIP_Label_c556900c-5ad4-4f2b-8019-65cb4ed22374_Name">
    <vt:lpwstr>defa4170-0d19-0005-0004-bc88714345d2</vt:lpwstr>
  </property>
  <property fmtid="{D5CDD505-2E9C-101B-9397-08002B2CF9AE}" pid="6" name="MSIP_Label_c556900c-5ad4-4f2b-8019-65cb4ed22374_SiteId">
    <vt:lpwstr>dd83ce47-326d-4fe9-a0e5-7530887f77ab</vt:lpwstr>
  </property>
  <property fmtid="{D5CDD505-2E9C-101B-9397-08002B2CF9AE}" pid="7" name="MSIP_Label_c556900c-5ad4-4f2b-8019-65cb4ed22374_ActionId">
    <vt:lpwstr>62e17c15-339c-455d-9f59-8feb220616e8</vt:lpwstr>
  </property>
  <property fmtid="{D5CDD505-2E9C-101B-9397-08002B2CF9AE}" pid="8" name="MSIP_Label_c556900c-5ad4-4f2b-8019-65cb4ed22374_ContentBits">
    <vt:lpwstr>0</vt:lpwstr>
  </property>
  <property fmtid="{D5CDD505-2E9C-101B-9397-08002B2CF9AE}" pid="9" name="MSIP_Label_c556900c-5ad4-4f2b-8019-65cb4ed22374_Tag">
    <vt:lpwstr>10, 3, 0, 1</vt:lpwstr>
  </property>
</Properties>
</file>